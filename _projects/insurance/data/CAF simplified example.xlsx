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UN\Documents\GitHub\Jong-Min-Moon.github.io\_posts\insurance\"/>
    </mc:Choice>
  </mc:AlternateContent>
  <xr:revisionPtr revIDLastSave="0" documentId="8_{E468D3F9-0E0F-4C56-8F2A-7A95E4546D89}" xr6:coauthVersionLast="47" xr6:coauthVersionMax="47" xr10:uidLastSave="{00000000-0000-0000-0000-000000000000}"/>
  <bookViews>
    <workbookView xWindow="28680" yWindow="-105" windowWidth="29040" windowHeight="15720" xr2:uid="{5BE2D0FD-8F30-46C6-9FBA-C78EE81A897D}"/>
  </bookViews>
  <sheets>
    <sheet name="&quot;Simple&quot; example" sheetId="1" r:id="rId1"/>
    <sheet name="Consider cover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3" i="2" l="1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B34" i="2" a="1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S34" i="2"/>
  <c r="R34" i="2"/>
  <c r="Q34" i="2"/>
  <c r="P34" i="2"/>
  <c r="S33" i="2"/>
  <c r="R33" i="2"/>
  <c r="Q33" i="2"/>
  <c r="P33" i="2"/>
  <c r="S32" i="2"/>
  <c r="R32" i="2"/>
  <c r="Q32" i="2"/>
  <c r="P32" i="2"/>
  <c r="S31" i="2"/>
  <c r="R31" i="2"/>
  <c r="Q31" i="2"/>
  <c r="P31" i="2"/>
  <c r="S30" i="2"/>
  <c r="R30" i="2"/>
  <c r="Q30" i="2"/>
  <c r="P30" i="2"/>
  <c r="S29" i="2"/>
  <c r="R29" i="2"/>
  <c r="Q29" i="2"/>
  <c r="P29" i="2"/>
  <c r="S28" i="2"/>
  <c r="R28" i="2"/>
  <c r="Q28" i="2"/>
  <c r="P28" i="2"/>
  <c r="S27" i="2"/>
  <c r="R27" i="2"/>
  <c r="Q27" i="2"/>
  <c r="P27" i="2"/>
  <c r="S26" i="2"/>
  <c r="R26" i="2"/>
  <c r="Q26" i="2"/>
  <c r="P26" i="2"/>
  <c r="S25" i="2"/>
  <c r="R25" i="2"/>
  <c r="Q25" i="2"/>
  <c r="P25" i="2"/>
  <c r="S24" i="2"/>
  <c r="R24" i="2"/>
  <c r="Q24" i="2"/>
  <c r="P24" i="2"/>
  <c r="S23" i="2"/>
  <c r="R23" i="2"/>
  <c r="Q23" i="2"/>
  <c r="P23" i="2"/>
  <c r="S22" i="2"/>
  <c r="R22" i="2"/>
  <c r="Q22" i="2"/>
  <c r="P22" i="2"/>
  <c r="S21" i="2"/>
  <c r="R21" i="2"/>
  <c r="Q21" i="2"/>
  <c r="P21" i="2"/>
  <c r="S20" i="2"/>
  <c r="R20" i="2"/>
  <c r="Q20" i="2"/>
  <c r="P20" i="2"/>
  <c r="S19" i="2"/>
  <c r="R19" i="2"/>
  <c r="Q19" i="2"/>
  <c r="P19" i="2"/>
  <c r="S18" i="2"/>
  <c r="R18" i="2"/>
  <c r="Q18" i="2"/>
  <c r="P18" i="2"/>
  <c r="S17" i="2"/>
  <c r="R17" i="2"/>
  <c r="Q17" i="2"/>
  <c r="P17" i="2"/>
  <c r="S16" i="2"/>
  <c r="R16" i="2"/>
  <c r="Q16" i="2"/>
  <c r="P16" i="2"/>
  <c r="S15" i="2"/>
  <c r="R15" i="2"/>
  <c r="Q15" i="2"/>
  <c r="P15" i="2"/>
  <c r="S14" i="2"/>
  <c r="R14" i="2"/>
  <c r="Q14" i="2"/>
  <c r="P1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L27" i="2"/>
  <c r="L26" i="2"/>
  <c r="L23" i="2"/>
  <c r="L22" i="2"/>
  <c r="L31" i="2"/>
  <c r="L30" i="2"/>
  <c r="L19" i="2"/>
  <c r="L18" i="2"/>
  <c r="L34" i="2" s="1"/>
  <c r="L15" i="2"/>
  <c r="L14" i="2"/>
  <c r="K32" i="2"/>
  <c r="K30" i="2"/>
  <c r="K28" i="2"/>
  <c r="K26" i="2"/>
  <c r="K24" i="2"/>
  <c r="K22" i="2"/>
  <c r="K20" i="2"/>
  <c r="K18" i="2"/>
  <c r="K16" i="2"/>
  <c r="K14" i="2"/>
  <c r="J32" i="2"/>
  <c r="J30" i="2"/>
  <c r="J28" i="2"/>
  <c r="J26" i="2"/>
  <c r="J20" i="2"/>
  <c r="J18" i="2"/>
  <c r="J24" i="2"/>
  <c r="J22" i="2"/>
  <c r="J16" i="2"/>
  <c r="J14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H34" i="2"/>
  <c r="M14" i="2"/>
  <c r="BA14" i="1"/>
  <c r="BA13" i="1"/>
  <c r="BA12" i="1"/>
  <c r="BA11" i="1"/>
  <c r="BA10" i="1"/>
  <c r="AJ14" i="1"/>
  <c r="AJ13" i="1"/>
  <c r="AJ12" i="1"/>
  <c r="AJ11" i="1"/>
  <c r="AJ10" i="1"/>
  <c r="AI13" i="1"/>
  <c r="AI12" i="1"/>
  <c r="AI14" i="1"/>
  <c r="AI11" i="1"/>
  <c r="AI10" i="1"/>
  <c r="AG14" i="1"/>
  <c r="AG13" i="1"/>
  <c r="AG11" i="1"/>
  <c r="AG12" i="1"/>
  <c r="AG10" i="1"/>
  <c r="AH14" i="1"/>
  <c r="AH13" i="1"/>
  <c r="AH12" i="1"/>
  <c r="AH11" i="1"/>
  <c r="AH10" i="1"/>
  <c r="AE15" i="1"/>
  <c r="K34" i="2" l="1"/>
  <c r="J34" i="2"/>
  <c r="N14" i="2"/>
  <c r="AG15" i="1"/>
  <c r="AK12" i="1"/>
  <c r="AM12" i="1" s="1"/>
  <c r="AK10" i="1"/>
  <c r="AP10" i="1" s="1"/>
  <c r="AK13" i="1"/>
  <c r="AJ15" i="1"/>
  <c r="AK11" i="1"/>
  <c r="AK14" i="1"/>
  <c r="AI15" i="1"/>
  <c r="AH15" i="1"/>
  <c r="N34" i="2" l="1"/>
  <c r="AN12" i="1"/>
  <c r="AK15" i="1"/>
  <c r="AM15" i="1" s="1"/>
  <c r="AN14" i="1"/>
  <c r="AM14" i="1"/>
  <c r="AO14" i="1"/>
  <c r="AY14" i="1"/>
  <c r="AP14" i="1"/>
  <c r="AY11" i="1"/>
  <c r="AM11" i="1"/>
  <c r="AN13" i="1"/>
  <c r="AM13" i="1"/>
  <c r="AY13" i="1"/>
  <c r="AM10" i="1"/>
  <c r="AY10" i="1"/>
  <c r="AP12" i="1"/>
  <c r="AO12" i="1"/>
  <c r="AY12" i="1"/>
  <c r="AP13" i="1"/>
  <c r="AP11" i="1"/>
  <c r="AO13" i="1"/>
  <c r="AO11" i="1"/>
  <c r="AO10" i="1"/>
  <c r="AN11" i="1"/>
  <c r="AN10" i="1"/>
  <c r="AN15" i="1" l="1"/>
  <c r="AP15" i="1"/>
  <c r="AO15" i="1"/>
  <c r="AY15" i="1" a="1"/>
  <c r="AY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<sst xmlns="http://schemas.openxmlformats.org/spreadsheetml/2006/main" count="219" uniqueCount="74">
  <si>
    <t>Capital Allocation Factor Example</t>
  </si>
  <si>
    <t>Consider a (fictitious) state that has different geographic catastrophe risks:</t>
  </si>
  <si>
    <t>Hurricane (HU)</t>
  </si>
  <si>
    <t>Earthquake (EQ)</t>
  </si>
  <si>
    <t>Region 1</t>
  </si>
  <si>
    <t>Region 2</t>
  </si>
  <si>
    <t>Region 3</t>
  </si>
  <si>
    <t>Region 4</t>
  </si>
  <si>
    <t>Region 5</t>
  </si>
  <si>
    <t>SCS</t>
  </si>
  <si>
    <t>high</t>
  </si>
  <si>
    <t>EQ</t>
  </si>
  <si>
    <t>HU</t>
  </si>
  <si>
    <t>low</t>
  </si>
  <si>
    <t>TIV</t>
  </si>
  <si>
    <t>SCS AAL</t>
  </si>
  <si>
    <t>HU AAL</t>
  </si>
  <si>
    <t>EQ AAL</t>
  </si>
  <si>
    <t>NC AAL</t>
  </si>
  <si>
    <t>Total AAL</t>
  </si>
  <si>
    <t>SCS PLR</t>
  </si>
  <si>
    <t>HU PLR</t>
  </si>
  <si>
    <t>EQ PLR</t>
  </si>
  <si>
    <t>NC PLR</t>
  </si>
  <si>
    <t>Wt Avg PLR</t>
  </si>
  <si>
    <t>SCS %</t>
  </si>
  <si>
    <t>HU %</t>
  </si>
  <si>
    <t>EQ %</t>
  </si>
  <si>
    <t>NC %</t>
  </si>
  <si>
    <t>Implied</t>
  </si>
  <si>
    <t>Region</t>
  </si>
  <si>
    <t>West</t>
  </si>
  <si>
    <t>East</t>
  </si>
  <si>
    <t>Damage Ratio</t>
  </si>
  <si>
    <t>(high risk)</t>
  </si>
  <si>
    <t>(low risk)</t>
  </si>
  <si>
    <t>Other</t>
  </si>
  <si>
    <t>Central</t>
  </si>
  <si>
    <t>Extreme Southeast</t>
  </si>
  <si>
    <t>Combining these plots effectively splits the state into 5 regions:</t>
  </si>
  <si>
    <t>SCS risk</t>
  </si>
  <si>
    <t>HU risk</t>
  </si>
  <si>
    <t>EQ risk</t>
  </si>
  <si>
    <t>Severe Convective Storm (SCS)</t>
  </si>
  <si>
    <t>Damage Ratio = Average Annual Loss per $1000 Total Insured Value</t>
  </si>
  <si>
    <t>AAL = Average Annual Loss</t>
  </si>
  <si>
    <t>TIV = Total Insured Value</t>
  </si>
  <si>
    <t>Peril Mix (%)</t>
  </si>
  <si>
    <t>Peril Mix (AAL)</t>
  </si>
  <si>
    <t>State Total</t>
  </si>
  <si>
    <t>PLR = Permissible Loss Ratio</t>
  </si>
  <si>
    <t>What loss ratio do we need to achieve to satisfy</t>
  </si>
  <si>
    <t>our target profit while mitigating risk?</t>
  </si>
  <si>
    <t>Perils with a greater tail risk will have a lower PLR</t>
  </si>
  <si>
    <t>(NC = non-catastrophe)</t>
  </si>
  <si>
    <t>The PLR in a particular</t>
  </si>
  <si>
    <t>region is determined by</t>
  </si>
  <si>
    <t>its mix of catastrophe and</t>
  </si>
  <si>
    <t>non-catastrophe perils.</t>
  </si>
  <si>
    <t>The lower the PLR, the more capital is required to support the risk.</t>
  </si>
  <si>
    <t>Question:  What is the best way to determine the peril mix for a given region (or perhaps for a given risk)?</t>
  </si>
  <si>
    <t>Currently, we use state-level AALs provided by the commercial pricing team from their indications analysis.</t>
  </si>
  <si>
    <t>We then allocate these AALs to the (within-state) region level based on assumed damage ratio relativities.</t>
  </si>
  <si>
    <t>These relativities depend on the policies in a recent in-force book of business. Particularly in small states,</t>
  </si>
  <si>
    <t xml:space="preserve">our in-force book may not be credible. </t>
  </si>
  <si>
    <t>Can a model-based approach help us generate more theoretically-reasonable peril mixes / capital charges?</t>
  </si>
  <si>
    <t>Consider the same example, but recognize that some policies have</t>
  </si>
  <si>
    <t>coverage exclusions so that the policyholder has lower premiums but</t>
  </si>
  <si>
    <t>takes on greater risk.</t>
  </si>
  <si>
    <t>EQ covg</t>
  </si>
  <si>
    <t>WH covg</t>
  </si>
  <si>
    <t>Y</t>
  </si>
  <si>
    <t>N</t>
  </si>
  <si>
    <t>Capital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</si>
</sst>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_);_(* \(#,##0\);_(* &quot;-&quot;?_);_(@_)"/>
    <numFmt numFmtId="166" formatCode="0.0000"/>
    <numFmt numFmtId="167" formatCode="0.000"/>
    <numFmt numFmtId="168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2" applyFont="1"/>
    <xf numFmtId="9" fontId="2" fillId="0" borderId="0" xfId="2" applyFont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6" xfId="0" applyFill="1" applyBorder="1"/>
    <xf numFmtId="0" fontId="0" fillId="5" borderId="8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2" fillId="0" borderId="0" xfId="0" applyFont="1"/>
    <xf numFmtId="0" fontId="5" fillId="0" borderId="0" xfId="0" applyFont="1"/>
    <xf numFmtId="168" fontId="0" fillId="0" borderId="12" xfId="2" applyNumberFormat="1" applyFont="1" applyBorder="1"/>
    <xf numFmtId="168" fontId="0" fillId="0" borderId="13" xfId="2" applyNumberFormat="1" applyFont="1" applyBorder="1"/>
    <xf numFmtId="168" fontId="0" fillId="0" borderId="14" xfId="2" applyNumberFormat="1" applyFont="1" applyBorder="1"/>
    <xf numFmtId="168" fontId="5" fillId="0" borderId="0" xfId="2" applyNumberFormat="1" applyFont="1"/>
    <xf numFmtId="0" fontId="6" fillId="0" borderId="0" xfId="0" applyFont="1"/>
    <xf numFmtId="164" fontId="0" fillId="3" borderId="0" xfId="0" applyNumberFormat="1" applyFill="1"/>
    <xf numFmtId="9" fontId="0" fillId="0" borderId="0" xfId="2" applyFont="1" applyAlignment="1">
      <alignment horizontal="right"/>
    </xf>
    <xf numFmtId="0" fontId="3" fillId="6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F4ED-BA30-41DB-A5EE-5EDAA44F0AE1}">
  <dimension ref="B3:BC41"/>
  <sheetViews>
    <sheetView tabSelected="1" topLeftCell="AF1" zoomScaleNormal="100" workbookViewId="0">
      <selection activeCell="AY10" sqref="AY10"/>
    </sheetView>
  </sheetViews>
  <sheetFormatPr defaultRowHeight="15" x14ac:dyDescent="0.25"/>
  <cols>
    <col min="31" max="31" width="16.42578125" bestFit="1" customWidth="1"/>
    <col min="32" max="32" width="15.28515625" customWidth="1"/>
    <col min="33" max="33" width="13.5703125" bestFit="1" customWidth="1"/>
    <col min="34" max="35" width="9.85546875" bestFit="1" customWidth="1"/>
    <col min="36" max="36" width="11.5703125" customWidth="1"/>
    <col min="37" max="37" width="11.42578125" bestFit="1" customWidth="1"/>
    <col min="54" max="54" width="25.5703125" customWidth="1"/>
    <col min="55" max="55" width="17" customWidth="1"/>
  </cols>
  <sheetData>
    <row r="3" spans="2:55" x14ac:dyDescent="0.25">
      <c r="B3" s="81" t="s">
        <v>0</v>
      </c>
    </row>
    <row r="5" spans="2:55" x14ac:dyDescent="0.25">
      <c r="B5" s="1" t="s">
        <v>1</v>
      </c>
      <c r="R5" s="1" t="s">
        <v>39</v>
      </c>
    </row>
    <row r="6" spans="2:55" ht="15.75" thickBot="1" x14ac:dyDescent="0.3"/>
    <row r="7" spans="2:55" ht="15.75" thickTop="1" x14ac:dyDescent="0.25">
      <c r="C7" t="s">
        <v>43</v>
      </c>
      <c r="J7" s="10"/>
      <c r="K7" s="11"/>
      <c r="L7" s="11"/>
      <c r="M7" s="16"/>
      <c r="N7" s="17"/>
      <c r="O7" s="18"/>
      <c r="R7" s="52"/>
      <c r="S7" s="53"/>
      <c r="T7" s="53"/>
      <c r="U7" s="54"/>
      <c r="V7" s="55"/>
      <c r="W7" s="56"/>
      <c r="AA7" s="1"/>
      <c r="AG7" t="s">
        <v>48</v>
      </c>
      <c r="AM7" t="s">
        <v>47</v>
      </c>
    </row>
    <row r="8" spans="2:55" x14ac:dyDescent="0.25">
      <c r="J8" s="12"/>
      <c r="K8" s="13"/>
      <c r="L8" s="13"/>
      <c r="M8" s="19"/>
      <c r="N8" s="20"/>
      <c r="O8" s="21"/>
      <c r="R8" s="57"/>
      <c r="S8" s="58" t="s">
        <v>4</v>
      </c>
      <c r="T8" s="59"/>
      <c r="U8" s="60"/>
      <c r="V8" s="61" t="s">
        <v>5</v>
      </c>
      <c r="W8" s="62"/>
      <c r="BA8" t="s">
        <v>29</v>
      </c>
    </row>
    <row r="9" spans="2:55" ht="15.75" thickBot="1" x14ac:dyDescent="0.3">
      <c r="D9" s="1" t="s">
        <v>30</v>
      </c>
      <c r="F9" s="1" t="s">
        <v>33</v>
      </c>
      <c r="J9" s="12"/>
      <c r="K9" s="13"/>
      <c r="L9" s="13"/>
      <c r="M9" s="19"/>
      <c r="N9" s="20"/>
      <c r="O9" s="21"/>
      <c r="R9" s="63"/>
      <c r="S9" s="59"/>
      <c r="T9" s="59"/>
      <c r="U9" s="60"/>
      <c r="V9" s="64"/>
      <c r="W9" s="62"/>
      <c r="AB9" t="s">
        <v>9</v>
      </c>
      <c r="AC9" t="s">
        <v>12</v>
      </c>
      <c r="AD9" t="s">
        <v>11</v>
      </c>
      <c r="AE9" t="s">
        <v>14</v>
      </c>
      <c r="AG9" t="s">
        <v>15</v>
      </c>
      <c r="AH9" t="s">
        <v>16</v>
      </c>
      <c r="AI9" t="s">
        <v>17</v>
      </c>
      <c r="AJ9" t="s">
        <v>18</v>
      </c>
      <c r="AK9" t="s">
        <v>19</v>
      </c>
      <c r="AM9" t="s">
        <v>25</v>
      </c>
      <c r="AN9" t="s">
        <v>26</v>
      </c>
      <c r="AO9" t="s">
        <v>27</v>
      </c>
      <c r="AP9" t="s">
        <v>28</v>
      </c>
      <c r="AS9" t="s">
        <v>20</v>
      </c>
      <c r="AT9" t="s">
        <v>21</v>
      </c>
      <c r="AU9" t="s">
        <v>22</v>
      </c>
      <c r="AV9" t="s">
        <v>23</v>
      </c>
      <c r="AY9" t="s">
        <v>24</v>
      </c>
      <c r="BA9" t="s">
        <v>73</v>
      </c>
    </row>
    <row r="10" spans="2:55" ht="15.75" thickTop="1" x14ac:dyDescent="0.25">
      <c r="D10" t="s">
        <v>31</v>
      </c>
      <c r="F10">
        <v>0.15</v>
      </c>
      <c r="G10" t="s">
        <v>34</v>
      </c>
      <c r="J10" s="12"/>
      <c r="K10" s="13"/>
      <c r="L10" s="13"/>
      <c r="M10" s="19"/>
      <c r="N10" s="20"/>
      <c r="O10" s="21"/>
      <c r="R10" s="63"/>
      <c r="S10" s="59"/>
      <c r="T10" s="65"/>
      <c r="U10" s="66"/>
      <c r="V10" s="64"/>
      <c r="W10" s="62"/>
      <c r="AA10" t="s">
        <v>4</v>
      </c>
      <c r="AB10" t="s">
        <v>10</v>
      </c>
      <c r="AC10" t="s">
        <v>13</v>
      </c>
      <c r="AD10" t="s">
        <v>13</v>
      </c>
      <c r="AE10" s="2">
        <v>3000000000</v>
      </c>
      <c r="AF10" s="2"/>
      <c r="AG10" s="3">
        <f>AE10*F$10/1000</f>
        <v>450000</v>
      </c>
      <c r="AH10" s="3">
        <f>AE10*F$23/1000</f>
        <v>30000</v>
      </c>
      <c r="AI10" s="3">
        <f>AE10*F$35/1000</f>
        <v>15000</v>
      </c>
      <c r="AJ10" s="4">
        <f>AE10*0.2/1000</f>
        <v>600000</v>
      </c>
      <c r="AK10" s="3">
        <f>SUM(AG10:AJ10)</f>
        <v>1095000</v>
      </c>
      <c r="AL10" s="6"/>
      <c r="AM10" s="8">
        <f t="shared" ref="AM10:AP15" si="0">AG10/$AK10</f>
        <v>0.41095890410958902</v>
      </c>
      <c r="AN10" s="8">
        <f t="shared" si="0"/>
        <v>2.7397260273972601E-2</v>
      </c>
      <c r="AO10" s="8">
        <f t="shared" si="0"/>
        <v>1.3698630136986301E-2</v>
      </c>
      <c r="AP10" s="8">
        <f t="shared" si="0"/>
        <v>0.54794520547945202</v>
      </c>
      <c r="AQ10" s="6"/>
      <c r="AR10" s="6"/>
      <c r="AS10" s="7">
        <v>0.54300000000000004</v>
      </c>
      <c r="AT10" s="7">
        <v>0.376</v>
      </c>
      <c r="AU10" s="7">
        <v>0.40600000000000003</v>
      </c>
      <c r="AV10" s="7">
        <v>0.629</v>
      </c>
      <c r="AW10" s="7"/>
      <c r="AY10" s="77">
        <f>AK10/(AG10/AS10+AH10/AT10+AI10/AU10+AJ10/AV10)</f>
        <v>0.57651077143641205</v>
      </c>
      <c r="BA10" s="5">
        <f>AY$15/AY10</f>
        <v>0.94768848674073614</v>
      </c>
    </row>
    <row r="11" spans="2:55" x14ac:dyDescent="0.25">
      <c r="D11" t="s">
        <v>32</v>
      </c>
      <c r="F11">
        <v>0.02</v>
      </c>
      <c r="G11" t="s">
        <v>35</v>
      </c>
      <c r="J11" s="12"/>
      <c r="K11" s="13"/>
      <c r="L11" s="13"/>
      <c r="M11" s="19"/>
      <c r="N11" s="20"/>
      <c r="O11" s="21"/>
      <c r="R11" s="63"/>
      <c r="S11" s="59"/>
      <c r="T11" s="84" t="s">
        <v>6</v>
      </c>
      <c r="U11" s="84" t="s">
        <v>7</v>
      </c>
      <c r="V11" s="64"/>
      <c r="W11" s="62"/>
      <c r="AA11" t="s">
        <v>5</v>
      </c>
      <c r="AB11" t="s">
        <v>13</v>
      </c>
      <c r="AC11" t="s">
        <v>13</v>
      </c>
      <c r="AD11" t="s">
        <v>13</v>
      </c>
      <c r="AE11" s="2">
        <v>2500000000</v>
      </c>
      <c r="AF11" s="2"/>
      <c r="AG11" s="3">
        <f>AE11*F$11/1000</f>
        <v>50000</v>
      </c>
      <c r="AH11" s="3">
        <f>AE11*F$23/1000</f>
        <v>25000</v>
      </c>
      <c r="AI11" s="3">
        <f>AE11*F$35/1000</f>
        <v>12500</v>
      </c>
      <c r="AJ11" s="4">
        <f t="shared" ref="AJ11:AJ14" si="1">AE11*0.2/1000</f>
        <v>500000</v>
      </c>
      <c r="AK11" s="3">
        <f t="shared" ref="AK11:AK14" si="2">SUM(AG11:AJ11)</f>
        <v>587500</v>
      </c>
      <c r="AL11" s="6"/>
      <c r="AM11" s="8">
        <f t="shared" si="0"/>
        <v>8.5106382978723402E-2</v>
      </c>
      <c r="AN11" s="8">
        <f t="shared" si="0"/>
        <v>4.2553191489361701E-2</v>
      </c>
      <c r="AO11" s="8">
        <f t="shared" si="0"/>
        <v>2.1276595744680851E-2</v>
      </c>
      <c r="AP11" s="8">
        <f t="shared" si="0"/>
        <v>0.85106382978723405</v>
      </c>
      <c r="AQ11" s="6"/>
      <c r="AR11" s="6"/>
      <c r="AS11" s="7">
        <v>0.54300000000000004</v>
      </c>
      <c r="AT11" s="7">
        <v>0.376</v>
      </c>
      <c r="AU11" s="7">
        <v>0.40600000000000003</v>
      </c>
      <c r="AV11" s="7">
        <v>0.629</v>
      </c>
      <c r="AW11" s="7"/>
      <c r="AY11" s="78">
        <f t="shared" ref="AY11:AY14" si="3">AK11/(AG11/AS11+AH11/AT11+AI11/AU11+AJ11/AV11)</f>
        <v>0.59688837974866482</v>
      </c>
      <c r="BA11" s="5">
        <f t="shared" ref="BA11:BA14" si="4">AY$15/AY11</f>
        <v>0.9153346573816088</v>
      </c>
    </row>
    <row r="12" spans="2:55" x14ac:dyDescent="0.25">
      <c r="J12" s="12"/>
      <c r="K12" s="13"/>
      <c r="L12" s="13"/>
      <c r="M12" s="19"/>
      <c r="N12" s="20"/>
      <c r="O12" s="21"/>
      <c r="R12" s="63"/>
      <c r="S12" s="59"/>
      <c r="T12" s="85"/>
      <c r="U12" s="85"/>
      <c r="V12" s="64"/>
      <c r="W12" s="62"/>
      <c r="AA12" t="s">
        <v>6</v>
      </c>
      <c r="AB12" t="s">
        <v>10</v>
      </c>
      <c r="AC12" t="s">
        <v>13</v>
      </c>
      <c r="AD12" t="s">
        <v>10</v>
      </c>
      <c r="AE12" s="2">
        <v>2000000000</v>
      </c>
      <c r="AF12" s="2"/>
      <c r="AG12" s="3">
        <f>AE12*F$10/1000</f>
        <v>300000</v>
      </c>
      <c r="AH12" s="3">
        <f>AE12*F$23/1000</f>
        <v>20000</v>
      </c>
      <c r="AI12" s="3">
        <f>AE12*F$34/1000</f>
        <v>160000</v>
      </c>
      <c r="AJ12" s="4">
        <f t="shared" si="1"/>
        <v>400000</v>
      </c>
      <c r="AK12" s="3">
        <f t="shared" si="2"/>
        <v>880000</v>
      </c>
      <c r="AL12" s="6"/>
      <c r="AM12" s="8">
        <f t="shared" si="0"/>
        <v>0.34090909090909088</v>
      </c>
      <c r="AN12" s="8">
        <f t="shared" si="0"/>
        <v>2.2727272727272728E-2</v>
      </c>
      <c r="AO12" s="8">
        <f t="shared" si="0"/>
        <v>0.18181818181818182</v>
      </c>
      <c r="AP12" s="8">
        <f t="shared" si="0"/>
        <v>0.45454545454545453</v>
      </c>
      <c r="AQ12" s="6"/>
      <c r="AR12" s="6"/>
      <c r="AS12" s="7">
        <v>0.54300000000000004</v>
      </c>
      <c r="AT12" s="7">
        <v>0.376</v>
      </c>
      <c r="AU12" s="7">
        <v>0.40600000000000003</v>
      </c>
      <c r="AV12" s="7">
        <v>0.629</v>
      </c>
      <c r="AW12" s="7"/>
      <c r="AY12" s="78">
        <f t="shared" si="3"/>
        <v>0.53799715079726351</v>
      </c>
      <c r="BA12" s="5">
        <f t="shared" si="4"/>
        <v>1.0155306952140213</v>
      </c>
    </row>
    <row r="13" spans="2:55" ht="15.75" thickBot="1" x14ac:dyDescent="0.3">
      <c r="C13" s="1" t="s">
        <v>44</v>
      </c>
      <c r="D13" s="1"/>
      <c r="J13" s="12"/>
      <c r="K13" s="13"/>
      <c r="L13" s="13"/>
      <c r="M13" s="19"/>
      <c r="N13" s="20"/>
      <c r="O13" s="21"/>
      <c r="R13" s="63"/>
      <c r="S13" s="59"/>
      <c r="T13" s="67"/>
      <c r="U13" s="68"/>
      <c r="V13" s="64"/>
      <c r="W13" s="62"/>
      <c r="AA13" t="s">
        <v>7</v>
      </c>
      <c r="AB13" t="s">
        <v>13</v>
      </c>
      <c r="AC13" t="s">
        <v>13</v>
      </c>
      <c r="AD13" t="s">
        <v>10</v>
      </c>
      <c r="AE13" s="2">
        <v>1500000000</v>
      </c>
      <c r="AF13" s="2"/>
      <c r="AG13" s="3">
        <f>AE13*F$11/1000</f>
        <v>30000</v>
      </c>
      <c r="AH13" s="3">
        <f>AE13*F$23/1000</f>
        <v>15000</v>
      </c>
      <c r="AI13" s="3">
        <f>AE13*F$34/1000</f>
        <v>120000</v>
      </c>
      <c r="AJ13" s="4">
        <f t="shared" si="1"/>
        <v>300000</v>
      </c>
      <c r="AK13" s="3">
        <f t="shared" si="2"/>
        <v>465000</v>
      </c>
      <c r="AL13" s="6"/>
      <c r="AM13" s="8">
        <f t="shared" si="0"/>
        <v>6.4516129032258063E-2</v>
      </c>
      <c r="AN13" s="8">
        <f t="shared" si="0"/>
        <v>3.2258064516129031E-2</v>
      </c>
      <c r="AO13" s="8">
        <f t="shared" si="0"/>
        <v>0.25806451612903225</v>
      </c>
      <c r="AP13" s="8">
        <f t="shared" si="0"/>
        <v>0.64516129032258063</v>
      </c>
      <c r="AQ13" s="6"/>
      <c r="AR13" s="6"/>
      <c r="AS13" s="7">
        <v>0.54300000000000004</v>
      </c>
      <c r="AT13" s="7">
        <v>0.376</v>
      </c>
      <c r="AU13" s="7">
        <v>0.40600000000000003</v>
      </c>
      <c r="AV13" s="7">
        <v>0.629</v>
      </c>
      <c r="AW13" s="7"/>
      <c r="AY13" s="78">
        <f t="shared" si="3"/>
        <v>0.5359265113532764</v>
      </c>
      <c r="BA13" s="5">
        <f t="shared" si="4"/>
        <v>1.0194543636079958</v>
      </c>
    </row>
    <row r="14" spans="2:55" ht="16.5" thickTop="1" thickBot="1" x14ac:dyDescent="0.3">
      <c r="J14" s="12"/>
      <c r="K14" s="13"/>
      <c r="L14" s="13"/>
      <c r="M14" s="19"/>
      <c r="N14" s="20"/>
      <c r="O14" s="21"/>
      <c r="R14" s="63"/>
      <c r="S14" s="59"/>
      <c r="T14" s="59"/>
      <c r="U14" s="60"/>
      <c r="V14" s="64"/>
      <c r="W14" s="62"/>
      <c r="AA14" t="s">
        <v>8</v>
      </c>
      <c r="AB14" t="s">
        <v>13</v>
      </c>
      <c r="AC14" t="s">
        <v>10</v>
      </c>
      <c r="AD14" t="s">
        <v>13</v>
      </c>
      <c r="AE14" s="2">
        <v>1000000000</v>
      </c>
      <c r="AF14" s="2"/>
      <c r="AG14" s="3">
        <f>AE14*F$11/1000</f>
        <v>20000</v>
      </c>
      <c r="AH14" s="3">
        <f>AE14*F$22/1000</f>
        <v>240000</v>
      </c>
      <c r="AI14" s="3">
        <f>AE14*F$35/1000</f>
        <v>5000</v>
      </c>
      <c r="AJ14" s="4">
        <f t="shared" si="1"/>
        <v>200000</v>
      </c>
      <c r="AK14" s="3">
        <f t="shared" si="2"/>
        <v>465000</v>
      </c>
      <c r="AL14" s="6"/>
      <c r="AM14" s="8">
        <f t="shared" si="0"/>
        <v>4.3010752688172046E-2</v>
      </c>
      <c r="AN14" s="8">
        <f t="shared" si="0"/>
        <v>0.5161290322580645</v>
      </c>
      <c r="AO14" s="8">
        <f t="shared" si="0"/>
        <v>1.0752688172043012E-2</v>
      </c>
      <c r="AP14" s="8">
        <f t="shared" si="0"/>
        <v>0.43010752688172044</v>
      </c>
      <c r="AQ14" s="6"/>
      <c r="AR14" s="6"/>
      <c r="AS14" s="7">
        <v>0.54300000000000004</v>
      </c>
      <c r="AT14" s="7">
        <v>0.376</v>
      </c>
      <c r="AU14" s="7">
        <v>0.40600000000000003</v>
      </c>
      <c r="AV14" s="7">
        <v>0.629</v>
      </c>
      <c r="AW14" s="7"/>
      <c r="AY14" s="79">
        <f t="shared" si="3"/>
        <v>0.46249761979166953</v>
      </c>
      <c r="BA14" s="5">
        <f t="shared" si="4"/>
        <v>1.1813090428841782</v>
      </c>
      <c r="BC14" s="1" t="s">
        <v>59</v>
      </c>
    </row>
    <row r="15" spans="2:55" ht="15.75" thickTop="1" x14ac:dyDescent="0.25">
      <c r="D15" s="1" t="s">
        <v>45</v>
      </c>
      <c r="J15" s="12"/>
      <c r="K15" s="13"/>
      <c r="L15" s="13"/>
      <c r="M15" s="19"/>
      <c r="N15" s="20"/>
      <c r="O15" s="21"/>
      <c r="R15" s="63"/>
      <c r="S15" s="59"/>
      <c r="T15" s="59"/>
      <c r="U15" s="60"/>
      <c r="V15" s="86" t="s">
        <v>8</v>
      </c>
      <c r="W15" s="87"/>
      <c r="AA15" s="76" t="s">
        <v>49</v>
      </c>
      <c r="AE15" s="73">
        <f>SUM(AE10:AE14)</f>
        <v>10000000000</v>
      </c>
      <c r="AF15" s="73"/>
      <c r="AG15" s="73">
        <f>SUM(AG10:AG14)</f>
        <v>850000</v>
      </c>
      <c r="AH15" s="73">
        <f>SUM(AH10:AH14)</f>
        <v>330000</v>
      </c>
      <c r="AI15" s="73">
        <f>SUM(AI10:AI14)</f>
        <v>312500</v>
      </c>
      <c r="AJ15" s="74">
        <f>SUM(AJ10:AJ14)</f>
        <v>2000000</v>
      </c>
      <c r="AK15" s="74">
        <f>SUM(AK10:AK14)</f>
        <v>3492500</v>
      </c>
      <c r="AL15" s="6"/>
      <c r="AM15" s="9">
        <f t="shared" si="0"/>
        <v>0.24337866857551896</v>
      </c>
      <c r="AN15" s="9">
        <f t="shared" si="0"/>
        <v>9.4488188976377951E-2</v>
      </c>
      <c r="AO15" s="9">
        <f t="shared" si="0"/>
        <v>8.9477451682176093E-2</v>
      </c>
      <c r="AP15" s="9">
        <f t="shared" si="0"/>
        <v>0.57265569076592704</v>
      </c>
      <c r="AQ15" s="6"/>
      <c r="AR15" s="6"/>
      <c r="AY15" s="80" cm="1">
        <f t="array" ref="AY15">AK$15/SUM(AK$10:AK$14/AY$10:AY$14)</f>
        <v>0.54635262057230771</v>
      </c>
    </row>
    <row r="16" spans="2:55" ht="15.75" thickBot="1" x14ac:dyDescent="0.3">
      <c r="D16" s="1" t="s">
        <v>46</v>
      </c>
      <c r="J16" s="14"/>
      <c r="K16" s="15"/>
      <c r="L16" s="15"/>
      <c r="M16" s="22"/>
      <c r="N16" s="23"/>
      <c r="O16" s="24"/>
      <c r="R16" s="69"/>
      <c r="S16" s="70"/>
      <c r="T16" s="70"/>
      <c r="U16" s="71"/>
      <c r="V16" s="88"/>
      <c r="W16" s="89"/>
    </row>
    <row r="17" spans="3:52" ht="15.75" thickTop="1" x14ac:dyDescent="0.25">
      <c r="AJ17" t="s">
        <v>54</v>
      </c>
      <c r="AS17" s="1" t="s">
        <v>50</v>
      </c>
      <c r="AY17" t="s">
        <v>55</v>
      </c>
    </row>
    <row r="18" spans="3:52" ht="15.75" thickBot="1" x14ac:dyDescent="0.3">
      <c r="AY18" t="s">
        <v>56</v>
      </c>
    </row>
    <row r="19" spans="3:52" ht="15.75" thickTop="1" x14ac:dyDescent="0.25">
      <c r="C19" t="s">
        <v>2</v>
      </c>
      <c r="J19" s="25"/>
      <c r="K19" s="26"/>
      <c r="L19" s="26"/>
      <c r="M19" s="26"/>
      <c r="N19" s="26"/>
      <c r="O19" s="27"/>
      <c r="T19" s="72" t="s">
        <v>40</v>
      </c>
      <c r="U19" s="72" t="s">
        <v>41</v>
      </c>
      <c r="V19" s="72" t="s">
        <v>42</v>
      </c>
      <c r="AS19" t="s">
        <v>51</v>
      </c>
      <c r="AY19" t="s">
        <v>57</v>
      </c>
    </row>
    <row r="20" spans="3:52" x14ac:dyDescent="0.25">
      <c r="J20" s="28"/>
      <c r="K20" s="29"/>
      <c r="L20" s="29"/>
      <c r="M20" s="29"/>
      <c r="N20" s="29"/>
      <c r="O20" s="30"/>
      <c r="S20" t="s">
        <v>4</v>
      </c>
      <c r="T20" t="s">
        <v>10</v>
      </c>
      <c r="U20" t="s">
        <v>13</v>
      </c>
      <c r="V20" t="s">
        <v>13</v>
      </c>
      <c r="AS20" t="s">
        <v>52</v>
      </c>
      <c r="AY20" t="s">
        <v>58</v>
      </c>
    </row>
    <row r="21" spans="3:52" x14ac:dyDescent="0.25">
      <c r="D21" s="1" t="s">
        <v>30</v>
      </c>
      <c r="F21" s="1" t="s">
        <v>33</v>
      </c>
      <c r="J21" s="28"/>
      <c r="K21" s="29"/>
      <c r="L21" s="29"/>
      <c r="M21" s="29"/>
      <c r="N21" s="29"/>
      <c r="O21" s="30"/>
      <c r="S21" t="s">
        <v>5</v>
      </c>
      <c r="T21" t="s">
        <v>13</v>
      </c>
      <c r="U21" t="s">
        <v>13</v>
      </c>
      <c r="V21" t="s">
        <v>13</v>
      </c>
    </row>
    <row r="22" spans="3:52" x14ac:dyDescent="0.25">
      <c r="D22" t="s">
        <v>38</v>
      </c>
      <c r="F22">
        <v>0.24</v>
      </c>
      <c r="G22" t="s">
        <v>34</v>
      </c>
      <c r="J22" s="28"/>
      <c r="K22" s="29"/>
      <c r="L22" s="29"/>
      <c r="M22" s="29"/>
      <c r="N22" s="29"/>
      <c r="O22" s="30"/>
      <c r="S22" t="s">
        <v>6</v>
      </c>
      <c r="T22" t="s">
        <v>10</v>
      </c>
      <c r="U22" t="s">
        <v>13</v>
      </c>
      <c r="V22" t="s">
        <v>10</v>
      </c>
      <c r="AS22" t="s">
        <v>53</v>
      </c>
    </row>
    <row r="23" spans="3:52" x14ac:dyDescent="0.25">
      <c r="D23" t="s">
        <v>36</v>
      </c>
      <c r="F23">
        <v>0.01</v>
      </c>
      <c r="G23" t="s">
        <v>35</v>
      </c>
      <c r="J23" s="28"/>
      <c r="K23" s="29"/>
      <c r="L23" s="29"/>
      <c r="M23" s="29"/>
      <c r="N23" s="29"/>
      <c r="O23" s="30"/>
      <c r="S23" t="s">
        <v>7</v>
      </c>
      <c r="T23" t="s">
        <v>13</v>
      </c>
      <c r="U23" t="s">
        <v>13</v>
      </c>
      <c r="V23" t="s">
        <v>10</v>
      </c>
    </row>
    <row r="24" spans="3:52" x14ac:dyDescent="0.25">
      <c r="J24" s="28"/>
      <c r="K24" s="29"/>
      <c r="L24" s="29"/>
      <c r="M24" s="29"/>
      <c r="N24" s="29"/>
      <c r="O24" s="30"/>
      <c r="S24" t="s">
        <v>8</v>
      </c>
      <c r="T24" t="s">
        <v>13</v>
      </c>
      <c r="U24" t="s">
        <v>10</v>
      </c>
      <c r="V24" t="s">
        <v>13</v>
      </c>
    </row>
    <row r="25" spans="3:52" x14ac:dyDescent="0.25">
      <c r="J25" s="28"/>
      <c r="K25" s="29"/>
      <c r="L25" s="29"/>
      <c r="M25" s="29"/>
      <c r="N25" s="29"/>
      <c r="O25" s="30"/>
      <c r="AY25" s="75" t="s">
        <v>60</v>
      </c>
    </row>
    <row r="26" spans="3:52" ht="15.75" thickBot="1" x14ac:dyDescent="0.3">
      <c r="J26" s="28"/>
      <c r="K26" s="29"/>
      <c r="L26" s="29"/>
      <c r="M26" s="29"/>
      <c r="N26" s="29"/>
      <c r="O26" s="30"/>
    </row>
    <row r="27" spans="3:52" ht="15.75" thickTop="1" x14ac:dyDescent="0.25">
      <c r="J27" s="28"/>
      <c r="K27" s="29"/>
      <c r="L27" s="29"/>
      <c r="M27" s="29"/>
      <c r="N27" s="33"/>
      <c r="O27" s="34"/>
      <c r="AZ27" t="s">
        <v>61</v>
      </c>
    </row>
    <row r="28" spans="3:52" ht="15.75" thickBot="1" x14ac:dyDescent="0.3">
      <c r="J28" s="31"/>
      <c r="K28" s="32"/>
      <c r="L28" s="32"/>
      <c r="M28" s="32"/>
      <c r="N28" s="35"/>
      <c r="O28" s="36"/>
      <c r="AZ28" t="s">
        <v>62</v>
      </c>
    </row>
    <row r="29" spans="3:52" ht="15.75" thickTop="1" x14ac:dyDescent="0.25">
      <c r="AZ29" t="s">
        <v>63</v>
      </c>
    </row>
    <row r="30" spans="3:52" ht="15.75" thickBot="1" x14ac:dyDescent="0.3">
      <c r="AZ30" t="s">
        <v>64</v>
      </c>
    </row>
    <row r="31" spans="3:52" ht="15.75" thickTop="1" x14ac:dyDescent="0.25">
      <c r="C31" t="s">
        <v>3</v>
      </c>
      <c r="J31" s="37"/>
      <c r="K31" s="38"/>
      <c r="L31" s="38"/>
      <c r="M31" s="38"/>
      <c r="N31" s="38"/>
      <c r="O31" s="39"/>
    </row>
    <row r="32" spans="3:52" x14ac:dyDescent="0.25">
      <c r="J32" s="40"/>
      <c r="K32" s="41"/>
      <c r="L32" s="41"/>
      <c r="M32" s="41"/>
      <c r="N32" s="41"/>
      <c r="O32" s="42"/>
      <c r="AZ32" t="s">
        <v>65</v>
      </c>
    </row>
    <row r="33" spans="4:15" ht="15.75" thickBot="1" x14ac:dyDescent="0.3">
      <c r="D33" s="1" t="s">
        <v>30</v>
      </c>
      <c r="F33" s="1" t="s">
        <v>33</v>
      </c>
      <c r="J33" s="40"/>
      <c r="K33" s="41"/>
      <c r="L33" s="41"/>
      <c r="M33" s="41"/>
      <c r="N33" s="41"/>
      <c r="O33" s="42"/>
    </row>
    <row r="34" spans="4:15" ht="15.75" thickTop="1" x14ac:dyDescent="0.25">
      <c r="D34" t="s">
        <v>37</v>
      </c>
      <c r="F34">
        <v>0.08</v>
      </c>
      <c r="G34" t="s">
        <v>34</v>
      </c>
      <c r="J34" s="40"/>
      <c r="K34" s="41"/>
      <c r="L34" s="46"/>
      <c r="M34" s="47"/>
      <c r="N34" s="41"/>
      <c r="O34" s="42"/>
    </row>
    <row r="35" spans="4:15" x14ac:dyDescent="0.25">
      <c r="D35" t="s">
        <v>36</v>
      </c>
      <c r="F35">
        <v>5.0000000000000001E-3</v>
      </c>
      <c r="G35" t="s">
        <v>35</v>
      </c>
      <c r="J35" s="40"/>
      <c r="K35" s="41"/>
      <c r="L35" s="48"/>
      <c r="M35" s="49"/>
      <c r="N35" s="41"/>
      <c r="O35" s="42"/>
    </row>
    <row r="36" spans="4:15" x14ac:dyDescent="0.25">
      <c r="J36" s="40"/>
      <c r="K36" s="41"/>
      <c r="L36" s="48"/>
      <c r="M36" s="49"/>
      <c r="N36" s="41"/>
      <c r="O36" s="42"/>
    </row>
    <row r="37" spans="4:15" ht="15.75" thickBot="1" x14ac:dyDescent="0.3">
      <c r="J37" s="40"/>
      <c r="K37" s="41"/>
      <c r="L37" s="50"/>
      <c r="M37" s="51"/>
      <c r="N37" s="41"/>
      <c r="O37" s="42"/>
    </row>
    <row r="38" spans="4:15" ht="15.75" thickTop="1" x14ac:dyDescent="0.25">
      <c r="J38" s="40"/>
      <c r="K38" s="41"/>
      <c r="L38" s="41"/>
      <c r="M38" s="41"/>
      <c r="N38" s="41"/>
      <c r="O38" s="42"/>
    </row>
    <row r="39" spans="4:15" x14ac:dyDescent="0.25">
      <c r="J39" s="40"/>
      <c r="K39" s="41"/>
      <c r="L39" s="41"/>
      <c r="M39" s="41"/>
      <c r="N39" s="41"/>
      <c r="O39" s="42"/>
    </row>
    <row r="40" spans="4:15" ht="15.75" thickBot="1" x14ac:dyDescent="0.3">
      <c r="J40" s="43"/>
      <c r="K40" s="44"/>
      <c r="L40" s="44"/>
      <c r="M40" s="44"/>
      <c r="N40" s="44"/>
      <c r="O40" s="45"/>
    </row>
    <row r="41" spans="4:15" ht="15.75" thickTop="1" x14ac:dyDescent="0.25"/>
  </sheetData>
  <mergeCells count="3">
    <mergeCell ref="T11:T12"/>
    <mergeCell ref="U11:U12"/>
    <mergeCell ref="V15:W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9401-077F-4207-ACE7-973B08791BA0}">
  <dimension ref="B3:AF51"/>
  <sheetViews>
    <sheetView workbookViewId="0"/>
  </sheetViews>
  <sheetFormatPr defaultRowHeight="15" x14ac:dyDescent="0.25"/>
  <cols>
    <col min="8" max="8" width="16.140625" bestFit="1" customWidth="1"/>
    <col min="10" max="10" width="13.5703125" bestFit="1" customWidth="1"/>
    <col min="11" max="12" width="9.85546875" bestFit="1" customWidth="1"/>
    <col min="13" max="13" width="13.140625" customWidth="1"/>
    <col min="14" max="14" width="15.28515625" bestFit="1" customWidth="1"/>
    <col min="15" max="15" width="15.28515625" customWidth="1"/>
    <col min="19" max="19" width="11.5703125" customWidth="1"/>
    <col min="20" max="20" width="11.42578125" bestFit="1" customWidth="1"/>
  </cols>
  <sheetData>
    <row r="3" spans="2:30" x14ac:dyDescent="0.25">
      <c r="B3" s="81" t="s">
        <v>0</v>
      </c>
    </row>
    <row r="5" spans="2:30" x14ac:dyDescent="0.25">
      <c r="B5" s="1" t="s">
        <v>66</v>
      </c>
    </row>
    <row r="6" spans="2:30" x14ac:dyDescent="0.25">
      <c r="B6" s="1" t="s">
        <v>67</v>
      </c>
    </row>
    <row r="7" spans="2:30" x14ac:dyDescent="0.25">
      <c r="B7" s="1" t="s">
        <v>68</v>
      </c>
    </row>
    <row r="9" spans="2:30" x14ac:dyDescent="0.25">
      <c r="D9" s="1"/>
    </row>
    <row r="11" spans="2:30" x14ac:dyDescent="0.25">
      <c r="B11" s="1"/>
      <c r="J11" t="s">
        <v>48</v>
      </c>
      <c r="P11" t="s">
        <v>47</v>
      </c>
    </row>
    <row r="12" spans="2:30" x14ac:dyDescent="0.25">
      <c r="AD12" t="s">
        <v>29</v>
      </c>
    </row>
    <row r="13" spans="2:30" x14ac:dyDescent="0.25">
      <c r="C13" t="s">
        <v>9</v>
      </c>
      <c r="D13" t="s">
        <v>12</v>
      </c>
      <c r="E13" t="s">
        <v>11</v>
      </c>
      <c r="F13" t="s">
        <v>69</v>
      </c>
      <c r="G13" t="s">
        <v>70</v>
      </c>
      <c r="H13" t="s">
        <v>14</v>
      </c>
      <c r="J13" t="s">
        <v>15</v>
      </c>
      <c r="K13" t="s">
        <v>16</v>
      </c>
      <c r="L13" t="s">
        <v>17</v>
      </c>
      <c r="M13" t="s">
        <v>18</v>
      </c>
      <c r="N13" t="s">
        <v>19</v>
      </c>
      <c r="P13" t="s">
        <v>25</v>
      </c>
      <c r="Q13" t="s">
        <v>26</v>
      </c>
      <c r="R13" t="s">
        <v>27</v>
      </c>
      <c r="S13" t="s">
        <v>28</v>
      </c>
      <c r="V13" t="s">
        <v>20</v>
      </c>
      <c r="W13" t="s">
        <v>21</v>
      </c>
      <c r="X13" t="s">
        <v>22</v>
      </c>
      <c r="Y13" t="s">
        <v>23</v>
      </c>
      <c r="AB13" t="s">
        <v>24</v>
      </c>
      <c r="AD13" t="s">
        <v>73</v>
      </c>
    </row>
    <row r="14" spans="2:30" x14ac:dyDescent="0.25">
      <c r="B14" t="s">
        <v>4</v>
      </c>
      <c r="C14" t="s">
        <v>10</v>
      </c>
      <c r="D14" t="s">
        <v>13</v>
      </c>
      <c r="E14" t="s">
        <v>13</v>
      </c>
      <c r="F14" t="s">
        <v>71</v>
      </c>
      <c r="G14" t="s">
        <v>71</v>
      </c>
      <c r="H14" s="2">
        <v>2500000000</v>
      </c>
      <c r="I14" s="2"/>
      <c r="J14" s="3">
        <f>H14*'"Simple" example'!$F$10/1000</f>
        <v>375000</v>
      </c>
      <c r="K14" s="3">
        <f>H14*'"Simple" example'!$F$23/1000</f>
        <v>25000</v>
      </c>
      <c r="L14" s="3">
        <f>H14*'"Simple" example'!$F$35/1000</f>
        <v>12500</v>
      </c>
      <c r="M14" s="4">
        <f>H14*0.2/1000</f>
        <v>500000</v>
      </c>
      <c r="N14" s="3">
        <f>SUM(J14:M14)</f>
        <v>912500</v>
      </c>
      <c r="O14" s="6"/>
      <c r="P14" s="83">
        <f>IFERROR(J14/$N14,"?")</f>
        <v>0.41095890410958902</v>
      </c>
      <c r="Q14" s="83">
        <f t="shared" ref="Q14:Q34" si="0">IFERROR(K14/$N14,"?")</f>
        <v>2.7397260273972601E-2</v>
      </c>
      <c r="R14" s="83">
        <f t="shared" ref="R14:R34" si="1">IFERROR(L14/$N14,"?")</f>
        <v>1.3698630136986301E-2</v>
      </c>
      <c r="S14" s="83">
        <f t="shared" ref="S14:S34" si="2">IFERROR(M14/$N14,"?")</f>
        <v>0.54794520547945202</v>
      </c>
      <c r="T14" s="6"/>
      <c r="U14" s="6"/>
      <c r="V14" s="7">
        <v>0.54300000000000004</v>
      </c>
      <c r="W14" s="7">
        <v>0.376</v>
      </c>
      <c r="X14" s="7">
        <v>0.40600000000000003</v>
      </c>
      <c r="Y14" s="7">
        <v>0.629</v>
      </c>
      <c r="Z14" s="7"/>
      <c r="AB14" s="77">
        <f>IFERROR(N14/(J14/V14+K14/W14+L14/X14+M14/Y14),"?")</f>
        <v>0.57651077143641216</v>
      </c>
      <c r="AD14" s="5">
        <f>IFERROR(AB$34/AB14,"?")</f>
        <v>0.96335718798625158</v>
      </c>
    </row>
    <row r="15" spans="2:30" x14ac:dyDescent="0.25">
      <c r="F15" t="s">
        <v>71</v>
      </c>
      <c r="G15" t="s">
        <v>72</v>
      </c>
      <c r="H15" s="2">
        <v>400000000</v>
      </c>
      <c r="I15" s="2"/>
      <c r="J15" s="82"/>
      <c r="K15" s="82"/>
      <c r="L15" s="3">
        <f>H15*'"Simple" example'!$F$35/1000</f>
        <v>2000</v>
      </c>
      <c r="M15" s="4">
        <f>H15*0.2/1000</f>
        <v>80000</v>
      </c>
      <c r="N15" s="3">
        <f t="shared" ref="N15:N33" si="3">SUM(J15:M15)</f>
        <v>82000</v>
      </c>
      <c r="O15" s="6"/>
      <c r="P15" s="83">
        <f t="shared" ref="P15:P34" si="4">IFERROR(J15/$N15,"?")</f>
        <v>0</v>
      </c>
      <c r="Q15" s="83">
        <f t="shared" si="0"/>
        <v>0</v>
      </c>
      <c r="R15" s="83">
        <f t="shared" si="1"/>
        <v>2.4390243902439025E-2</v>
      </c>
      <c r="S15" s="83">
        <f t="shared" si="2"/>
        <v>0.97560975609756095</v>
      </c>
      <c r="T15" s="6"/>
      <c r="U15" s="6"/>
      <c r="V15" s="7">
        <v>0.54300000000000004</v>
      </c>
      <c r="W15" s="7">
        <v>0.376</v>
      </c>
      <c r="X15" s="7">
        <v>0.40600000000000003</v>
      </c>
      <c r="Y15" s="7">
        <v>0.629</v>
      </c>
      <c r="Z15" s="7"/>
      <c r="AB15" s="78">
        <f t="shared" ref="AB15:AB33" si="5">IFERROR(N15/(J15/V15+K15/W15+L15/X15+M15/Y15),"?")</f>
        <v>0.62068492501037409</v>
      </c>
      <c r="AD15" s="5">
        <f t="shared" ref="AD15:AD33" si="6">IFERROR(AB$34/AB15,"?")</f>
        <v>0.89479504533718768</v>
      </c>
    </row>
    <row r="16" spans="2:30" x14ac:dyDescent="0.25">
      <c r="F16" t="s">
        <v>72</v>
      </c>
      <c r="G16" t="s">
        <v>71</v>
      </c>
      <c r="H16" s="2">
        <v>0</v>
      </c>
      <c r="I16" s="2"/>
      <c r="J16" s="3">
        <f>H16*'"Simple" example'!$F$10/1000</f>
        <v>0</v>
      </c>
      <c r="K16" s="3">
        <f>H16*'"Simple" example'!$F$23/1000</f>
        <v>0</v>
      </c>
      <c r="L16" s="82"/>
      <c r="M16" s="4">
        <f>H16*0.2/1000</f>
        <v>0</v>
      </c>
      <c r="N16" s="3">
        <f t="shared" si="3"/>
        <v>0</v>
      </c>
      <c r="O16" s="6"/>
      <c r="P16" s="83" t="str">
        <f t="shared" si="4"/>
        <v>?</v>
      </c>
      <c r="Q16" s="83" t="str">
        <f t="shared" si="0"/>
        <v>?</v>
      </c>
      <c r="R16" s="83" t="str">
        <f t="shared" si="1"/>
        <v>?</v>
      </c>
      <c r="S16" s="83" t="str">
        <f t="shared" si="2"/>
        <v>?</v>
      </c>
      <c r="T16" s="6"/>
      <c r="U16" s="6"/>
      <c r="V16" s="7">
        <v>0.54300000000000004</v>
      </c>
      <c r="W16" s="7">
        <v>0.376</v>
      </c>
      <c r="X16" s="7">
        <v>0.40600000000000003</v>
      </c>
      <c r="Y16" s="7">
        <v>0.629</v>
      </c>
      <c r="Z16" s="7"/>
      <c r="AB16" s="78" t="str">
        <f t="shared" si="5"/>
        <v>?</v>
      </c>
      <c r="AD16" s="5" t="str">
        <f t="shared" si="6"/>
        <v>?</v>
      </c>
    </row>
    <row r="17" spans="2:32" x14ac:dyDescent="0.25">
      <c r="F17" t="s">
        <v>72</v>
      </c>
      <c r="G17" t="s">
        <v>72</v>
      </c>
      <c r="H17" s="2">
        <v>100000000</v>
      </c>
      <c r="I17" s="2"/>
      <c r="J17" s="82"/>
      <c r="K17" s="82"/>
      <c r="L17" s="82"/>
      <c r="M17" s="4">
        <f>H17*0.2/1000</f>
        <v>20000</v>
      </c>
      <c r="N17" s="3">
        <f t="shared" si="3"/>
        <v>20000</v>
      </c>
      <c r="O17" s="6"/>
      <c r="P17" s="83">
        <f t="shared" si="4"/>
        <v>0</v>
      </c>
      <c r="Q17" s="83">
        <f t="shared" si="0"/>
        <v>0</v>
      </c>
      <c r="R17" s="83">
        <f t="shared" si="1"/>
        <v>0</v>
      </c>
      <c r="S17" s="83">
        <f t="shared" si="2"/>
        <v>1</v>
      </c>
      <c r="T17" s="6"/>
      <c r="U17" s="6"/>
      <c r="V17" s="7">
        <v>0.54300000000000004</v>
      </c>
      <c r="W17" s="7">
        <v>0.376</v>
      </c>
      <c r="X17" s="7">
        <v>0.40600000000000003</v>
      </c>
      <c r="Y17" s="7">
        <v>0.629</v>
      </c>
      <c r="Z17" s="7"/>
      <c r="AB17" s="78">
        <f t="shared" si="5"/>
        <v>0.629</v>
      </c>
      <c r="AD17" s="5">
        <f t="shared" si="6"/>
        <v>0.88296628873571803</v>
      </c>
    </row>
    <row r="18" spans="2:32" x14ac:dyDescent="0.25">
      <c r="B18" t="s">
        <v>5</v>
      </c>
      <c r="C18" t="s">
        <v>13</v>
      </c>
      <c r="D18" t="s">
        <v>13</v>
      </c>
      <c r="E18" t="s">
        <v>13</v>
      </c>
      <c r="F18" t="s">
        <v>71</v>
      </c>
      <c r="G18" t="s">
        <v>71</v>
      </c>
      <c r="H18" s="2">
        <v>2250000000</v>
      </c>
      <c r="I18" s="2"/>
      <c r="J18" s="3">
        <f>H18*'"Simple" example'!$F$11/1000</f>
        <v>45000</v>
      </c>
      <c r="K18" s="3">
        <f>H18*'"Simple" example'!$F$23/1000</f>
        <v>22500</v>
      </c>
      <c r="L18" s="3">
        <f>H18*'"Simple" example'!$F$35/1000</f>
        <v>11250</v>
      </c>
      <c r="M18" s="4">
        <f t="shared" ref="M18:M33" si="7">H18*0.2/1000</f>
        <v>450000</v>
      </c>
      <c r="N18" s="3">
        <f t="shared" si="3"/>
        <v>528750</v>
      </c>
      <c r="O18" s="6"/>
      <c r="P18" s="83">
        <f t="shared" si="4"/>
        <v>8.5106382978723402E-2</v>
      </c>
      <c r="Q18" s="83">
        <f t="shared" si="0"/>
        <v>4.2553191489361701E-2</v>
      </c>
      <c r="R18" s="83">
        <f t="shared" si="1"/>
        <v>2.1276595744680851E-2</v>
      </c>
      <c r="S18" s="83">
        <f t="shared" si="2"/>
        <v>0.85106382978723405</v>
      </c>
      <c r="T18" s="6"/>
      <c r="U18" s="6"/>
      <c r="V18" s="7">
        <v>0.54300000000000004</v>
      </c>
      <c r="W18" s="7">
        <v>0.376</v>
      </c>
      <c r="X18" s="7">
        <v>0.40600000000000003</v>
      </c>
      <c r="Y18" s="7">
        <v>0.629</v>
      </c>
      <c r="Z18" s="7"/>
      <c r="AB18" s="78">
        <f t="shared" si="5"/>
        <v>0.59688837974866482</v>
      </c>
      <c r="AD18" s="5">
        <f t="shared" si="6"/>
        <v>0.93046843339223007</v>
      </c>
    </row>
    <row r="19" spans="2:32" x14ac:dyDescent="0.25">
      <c r="F19" t="s">
        <v>71</v>
      </c>
      <c r="G19" t="s">
        <v>72</v>
      </c>
      <c r="H19" s="2">
        <v>0</v>
      </c>
      <c r="I19" s="2"/>
      <c r="J19" s="82"/>
      <c r="K19" s="82"/>
      <c r="L19" s="3">
        <f>H19*'"Simple" example'!$F$35/1000</f>
        <v>0</v>
      </c>
      <c r="M19" s="4">
        <f t="shared" si="7"/>
        <v>0</v>
      </c>
      <c r="N19" s="3">
        <f t="shared" si="3"/>
        <v>0</v>
      </c>
      <c r="O19" s="6"/>
      <c r="P19" s="83" t="str">
        <f t="shared" si="4"/>
        <v>?</v>
      </c>
      <c r="Q19" s="83" t="str">
        <f t="shared" si="0"/>
        <v>?</v>
      </c>
      <c r="R19" s="83" t="str">
        <f t="shared" si="1"/>
        <v>?</v>
      </c>
      <c r="S19" s="83" t="str">
        <f t="shared" si="2"/>
        <v>?</v>
      </c>
      <c r="T19" s="6"/>
      <c r="U19" s="6"/>
      <c r="V19" s="7">
        <v>0.54300000000000004</v>
      </c>
      <c r="W19" s="7">
        <v>0.376</v>
      </c>
      <c r="X19" s="7">
        <v>0.40600000000000003</v>
      </c>
      <c r="Y19" s="7">
        <v>0.629</v>
      </c>
      <c r="Z19" s="7"/>
      <c r="AB19" s="78" t="str">
        <f t="shared" si="5"/>
        <v>?</v>
      </c>
      <c r="AD19" s="5" t="str">
        <f t="shared" si="6"/>
        <v>?</v>
      </c>
    </row>
    <row r="20" spans="2:32" x14ac:dyDescent="0.25">
      <c r="F20" t="s">
        <v>72</v>
      </c>
      <c r="G20" t="s">
        <v>71</v>
      </c>
      <c r="H20" s="2">
        <v>250000000</v>
      </c>
      <c r="I20" s="2"/>
      <c r="J20" s="3">
        <f>H20*'"Simple" example'!$F$11/1000</f>
        <v>5000</v>
      </c>
      <c r="K20" s="3">
        <f>H20*'"Simple" example'!$F$23/1000</f>
        <v>2500</v>
      </c>
      <c r="L20" s="82"/>
      <c r="M20" s="4">
        <f t="shared" si="7"/>
        <v>50000</v>
      </c>
      <c r="N20" s="3">
        <f t="shared" si="3"/>
        <v>57500</v>
      </c>
      <c r="O20" s="6"/>
      <c r="P20" s="83">
        <f t="shared" si="4"/>
        <v>8.6956521739130432E-2</v>
      </c>
      <c r="Q20" s="83">
        <f t="shared" si="0"/>
        <v>4.3478260869565216E-2</v>
      </c>
      <c r="R20" s="83">
        <f t="shared" si="1"/>
        <v>0</v>
      </c>
      <c r="S20" s="83">
        <f t="shared" si="2"/>
        <v>0.86956521739130432</v>
      </c>
      <c r="T20" s="6"/>
      <c r="U20" s="6"/>
      <c r="V20" s="7">
        <v>0.54300000000000004</v>
      </c>
      <c r="W20" s="7">
        <v>0.376</v>
      </c>
      <c r="X20" s="7">
        <v>0.40600000000000003</v>
      </c>
      <c r="Y20" s="7">
        <v>0.629</v>
      </c>
      <c r="Z20" s="7"/>
      <c r="AB20" s="78">
        <f t="shared" si="5"/>
        <v>0.60305220813346083</v>
      </c>
      <c r="AD20" s="5">
        <f t="shared" si="6"/>
        <v>0.92095806652258339</v>
      </c>
    </row>
    <row r="21" spans="2:32" x14ac:dyDescent="0.25">
      <c r="F21" t="s">
        <v>72</v>
      </c>
      <c r="G21" t="s">
        <v>72</v>
      </c>
      <c r="H21" s="2">
        <v>0</v>
      </c>
      <c r="I21" s="2"/>
      <c r="J21" s="82"/>
      <c r="K21" s="82"/>
      <c r="L21" s="82"/>
      <c r="M21" s="4">
        <f t="shared" si="7"/>
        <v>0</v>
      </c>
      <c r="N21" s="3">
        <f t="shared" si="3"/>
        <v>0</v>
      </c>
      <c r="O21" s="6"/>
      <c r="P21" s="83" t="str">
        <f t="shared" si="4"/>
        <v>?</v>
      </c>
      <c r="Q21" s="83" t="str">
        <f t="shared" si="0"/>
        <v>?</v>
      </c>
      <c r="R21" s="83" t="str">
        <f t="shared" si="1"/>
        <v>?</v>
      </c>
      <c r="S21" s="83" t="str">
        <f t="shared" si="2"/>
        <v>?</v>
      </c>
      <c r="T21" s="6"/>
      <c r="U21" s="6"/>
      <c r="V21" s="7">
        <v>0.54300000000000004</v>
      </c>
      <c r="W21" s="7">
        <v>0.376</v>
      </c>
      <c r="X21" s="7">
        <v>0.40600000000000003</v>
      </c>
      <c r="Y21" s="7">
        <v>0.629</v>
      </c>
      <c r="Z21" s="7"/>
      <c r="AB21" s="78" t="str">
        <f t="shared" si="5"/>
        <v>?</v>
      </c>
      <c r="AD21" s="5" t="str">
        <f t="shared" si="6"/>
        <v>?</v>
      </c>
    </row>
    <row r="22" spans="2:32" x14ac:dyDescent="0.25">
      <c r="B22" t="s">
        <v>6</v>
      </c>
      <c r="C22" t="s">
        <v>10</v>
      </c>
      <c r="D22" t="s">
        <v>13</v>
      </c>
      <c r="E22" t="s">
        <v>10</v>
      </c>
      <c r="F22" t="s">
        <v>71</v>
      </c>
      <c r="G22" t="s">
        <v>71</v>
      </c>
      <c r="H22" s="2">
        <v>1250000000</v>
      </c>
      <c r="I22" s="2"/>
      <c r="J22" s="3">
        <f>H22*'"Simple" example'!$F$10/1000</f>
        <v>187500</v>
      </c>
      <c r="K22" s="3">
        <f>H22*'"Simple" example'!$F$23/1000</f>
        <v>12500</v>
      </c>
      <c r="L22" s="3">
        <f>H22*'"Simple" example'!$F$34/1000</f>
        <v>100000</v>
      </c>
      <c r="M22" s="4">
        <f t="shared" si="7"/>
        <v>250000</v>
      </c>
      <c r="N22" s="3">
        <f t="shared" si="3"/>
        <v>550000</v>
      </c>
      <c r="O22" s="6"/>
      <c r="P22" s="83">
        <f t="shared" si="4"/>
        <v>0.34090909090909088</v>
      </c>
      <c r="Q22" s="83">
        <f t="shared" si="0"/>
        <v>2.2727272727272728E-2</v>
      </c>
      <c r="R22" s="83">
        <f t="shared" si="1"/>
        <v>0.18181818181818182</v>
      </c>
      <c r="S22" s="83">
        <f t="shared" si="2"/>
        <v>0.45454545454545453</v>
      </c>
      <c r="T22" s="6"/>
      <c r="U22" s="6"/>
      <c r="V22" s="7">
        <v>0.54300000000000004</v>
      </c>
      <c r="W22" s="7">
        <v>0.376</v>
      </c>
      <c r="X22" s="7">
        <v>0.40600000000000003</v>
      </c>
      <c r="Y22" s="7">
        <v>0.629</v>
      </c>
      <c r="Z22" s="7"/>
      <c r="AB22" s="78">
        <f t="shared" si="5"/>
        <v>0.53799715079726351</v>
      </c>
      <c r="AD22" s="5">
        <f t="shared" si="6"/>
        <v>1.032321072317455</v>
      </c>
    </row>
    <row r="23" spans="2:32" x14ac:dyDescent="0.25">
      <c r="F23" t="s">
        <v>71</v>
      </c>
      <c r="G23" t="s">
        <v>72</v>
      </c>
      <c r="H23" s="2">
        <v>0</v>
      </c>
      <c r="I23" s="2"/>
      <c r="J23" s="82"/>
      <c r="K23" s="82"/>
      <c r="L23" s="3">
        <f>H23*'"Simple" example'!$F$34/1000</f>
        <v>0</v>
      </c>
      <c r="M23" s="4">
        <f t="shared" si="7"/>
        <v>0</v>
      </c>
      <c r="N23" s="3">
        <f t="shared" si="3"/>
        <v>0</v>
      </c>
      <c r="O23" s="6"/>
      <c r="P23" s="83" t="str">
        <f t="shared" si="4"/>
        <v>?</v>
      </c>
      <c r="Q23" s="83" t="str">
        <f t="shared" si="0"/>
        <v>?</v>
      </c>
      <c r="R23" s="83" t="str">
        <f t="shared" si="1"/>
        <v>?</v>
      </c>
      <c r="S23" s="83" t="str">
        <f t="shared" si="2"/>
        <v>?</v>
      </c>
      <c r="T23" s="6"/>
      <c r="U23" s="6"/>
      <c r="V23" s="7">
        <v>0.54300000000000004</v>
      </c>
      <c r="W23" s="7">
        <v>0.376</v>
      </c>
      <c r="X23" s="7">
        <v>0.40600000000000003</v>
      </c>
      <c r="Y23" s="7">
        <v>0.629</v>
      </c>
      <c r="Z23" s="7"/>
      <c r="AB23" s="78" t="str">
        <f t="shared" si="5"/>
        <v>?</v>
      </c>
      <c r="AD23" s="5" t="str">
        <f t="shared" si="6"/>
        <v>?</v>
      </c>
    </row>
    <row r="24" spans="2:32" x14ac:dyDescent="0.25">
      <c r="F24" t="s">
        <v>72</v>
      </c>
      <c r="G24" t="s">
        <v>71</v>
      </c>
      <c r="H24" s="2">
        <v>500000000</v>
      </c>
      <c r="I24" s="2"/>
      <c r="J24" s="3">
        <f>H24*'"Simple" example'!$F$10/1000</f>
        <v>75000</v>
      </c>
      <c r="K24" s="3">
        <f>H24*'"Simple" example'!$F$23/1000</f>
        <v>5000</v>
      </c>
      <c r="L24" s="82"/>
      <c r="M24" s="4">
        <f t="shared" si="7"/>
        <v>100000</v>
      </c>
      <c r="N24" s="3">
        <f t="shared" si="3"/>
        <v>180000</v>
      </c>
      <c r="O24" s="6"/>
      <c r="P24" s="83">
        <f t="shared" si="4"/>
        <v>0.41666666666666669</v>
      </c>
      <c r="Q24" s="83">
        <f t="shared" si="0"/>
        <v>2.7777777777777776E-2</v>
      </c>
      <c r="R24" s="83">
        <f t="shared" si="1"/>
        <v>0</v>
      </c>
      <c r="S24" s="83">
        <f t="shared" si="2"/>
        <v>0.55555555555555558</v>
      </c>
      <c r="T24" s="6"/>
      <c r="U24" s="6"/>
      <c r="V24" s="7">
        <v>0.54300000000000004</v>
      </c>
      <c r="W24" s="7">
        <v>0.376</v>
      </c>
      <c r="X24" s="7">
        <v>0.40600000000000003</v>
      </c>
      <c r="Y24" s="7">
        <v>0.629</v>
      </c>
      <c r="Z24" s="7"/>
      <c r="AB24" s="78">
        <f t="shared" si="5"/>
        <v>0.57989329927612121</v>
      </c>
      <c r="AD24" s="5">
        <f t="shared" si="6"/>
        <v>0.95773790852222784</v>
      </c>
    </row>
    <row r="25" spans="2:32" x14ac:dyDescent="0.25">
      <c r="F25" t="s">
        <v>72</v>
      </c>
      <c r="G25" t="s">
        <v>72</v>
      </c>
      <c r="H25" s="2">
        <v>250000000</v>
      </c>
      <c r="I25" s="2"/>
      <c r="J25" s="82"/>
      <c r="K25" s="82"/>
      <c r="L25" s="82"/>
      <c r="M25" s="4">
        <f t="shared" si="7"/>
        <v>50000</v>
      </c>
      <c r="N25" s="3">
        <f t="shared" si="3"/>
        <v>50000</v>
      </c>
      <c r="O25" s="6"/>
      <c r="P25" s="83">
        <f t="shared" si="4"/>
        <v>0</v>
      </c>
      <c r="Q25" s="83">
        <f t="shared" si="0"/>
        <v>0</v>
      </c>
      <c r="R25" s="83">
        <f t="shared" si="1"/>
        <v>0</v>
      </c>
      <c r="S25" s="83">
        <f t="shared" si="2"/>
        <v>1</v>
      </c>
      <c r="T25" s="6"/>
      <c r="U25" s="6"/>
      <c r="V25" s="7">
        <v>0.54300000000000004</v>
      </c>
      <c r="W25" s="7">
        <v>0.376</v>
      </c>
      <c r="X25" s="7">
        <v>0.40600000000000003</v>
      </c>
      <c r="Y25" s="7">
        <v>0.629</v>
      </c>
      <c r="Z25" s="7"/>
      <c r="AB25" s="78">
        <f t="shared" si="5"/>
        <v>0.629</v>
      </c>
      <c r="AD25" s="5">
        <f t="shared" si="6"/>
        <v>0.88296628873571803</v>
      </c>
    </row>
    <row r="26" spans="2:32" x14ac:dyDescent="0.25">
      <c r="B26" t="s">
        <v>7</v>
      </c>
      <c r="C26" t="s">
        <v>13</v>
      </c>
      <c r="D26" t="s">
        <v>13</v>
      </c>
      <c r="E26" t="s">
        <v>10</v>
      </c>
      <c r="F26" t="s">
        <v>71</v>
      </c>
      <c r="G26" t="s">
        <v>71</v>
      </c>
      <c r="H26" s="2">
        <v>1300000000</v>
      </c>
      <c r="I26" s="2"/>
      <c r="J26" s="3">
        <f>H26*'"Simple" example'!$F$11/1000</f>
        <v>26000</v>
      </c>
      <c r="K26" s="3">
        <f>H26*'"Simple" example'!$F$23/1000</f>
        <v>13000</v>
      </c>
      <c r="L26" s="3">
        <f>H26*'"Simple" example'!$F$34/1000</f>
        <v>104000</v>
      </c>
      <c r="M26" s="4">
        <f t="shared" si="7"/>
        <v>260000</v>
      </c>
      <c r="N26" s="3">
        <f t="shared" si="3"/>
        <v>403000</v>
      </c>
      <c r="O26" s="6"/>
      <c r="P26" s="83">
        <f t="shared" si="4"/>
        <v>6.4516129032258063E-2</v>
      </c>
      <c r="Q26" s="83">
        <f t="shared" si="0"/>
        <v>3.2258064516129031E-2</v>
      </c>
      <c r="R26" s="83">
        <f t="shared" si="1"/>
        <v>0.25806451612903225</v>
      </c>
      <c r="S26" s="83">
        <f t="shared" si="2"/>
        <v>0.64516129032258063</v>
      </c>
      <c r="T26" s="6"/>
      <c r="U26" s="6"/>
      <c r="V26" s="7">
        <v>0.54300000000000004</v>
      </c>
      <c r="W26" s="7">
        <v>0.376</v>
      </c>
      <c r="X26" s="7">
        <v>0.40600000000000003</v>
      </c>
      <c r="Y26" s="7">
        <v>0.629</v>
      </c>
      <c r="Z26" s="7"/>
      <c r="AB26" s="78">
        <f t="shared" si="5"/>
        <v>0.53592651135327629</v>
      </c>
      <c r="AD26" s="5">
        <f t="shared" si="6"/>
        <v>1.0363096130705558</v>
      </c>
    </row>
    <row r="27" spans="2:32" x14ac:dyDescent="0.25">
      <c r="F27" t="s">
        <v>71</v>
      </c>
      <c r="G27" t="s">
        <v>72</v>
      </c>
      <c r="H27" s="2">
        <v>0</v>
      </c>
      <c r="I27" s="2"/>
      <c r="J27" s="82"/>
      <c r="K27" s="82"/>
      <c r="L27" s="3">
        <f>H27*'"Simple" example'!$F$34/1000</f>
        <v>0</v>
      </c>
      <c r="M27" s="4">
        <f t="shared" si="7"/>
        <v>0</v>
      </c>
      <c r="N27" s="3">
        <f t="shared" si="3"/>
        <v>0</v>
      </c>
      <c r="O27" s="6"/>
      <c r="P27" s="83" t="str">
        <f t="shared" si="4"/>
        <v>?</v>
      </c>
      <c r="Q27" s="83" t="str">
        <f t="shared" si="0"/>
        <v>?</v>
      </c>
      <c r="R27" s="83" t="str">
        <f t="shared" si="1"/>
        <v>?</v>
      </c>
      <c r="S27" s="83" t="str">
        <f t="shared" si="2"/>
        <v>?</v>
      </c>
      <c r="T27" s="6"/>
      <c r="U27" s="6"/>
      <c r="V27" s="7">
        <v>0.54300000000000004</v>
      </c>
      <c r="W27" s="7">
        <v>0.376</v>
      </c>
      <c r="X27" s="7">
        <v>0.40600000000000003</v>
      </c>
      <c r="Y27" s="7">
        <v>0.629</v>
      </c>
      <c r="Z27" s="7"/>
      <c r="AB27" s="78" t="str">
        <f t="shared" si="5"/>
        <v>?</v>
      </c>
      <c r="AD27" s="5" t="str">
        <f t="shared" si="6"/>
        <v>?</v>
      </c>
    </row>
    <row r="28" spans="2:32" x14ac:dyDescent="0.25">
      <c r="F28" t="s">
        <v>72</v>
      </c>
      <c r="G28" t="s">
        <v>71</v>
      </c>
      <c r="H28" s="2">
        <v>200000000</v>
      </c>
      <c r="I28" s="2"/>
      <c r="J28" s="3">
        <f>H28*'"Simple" example'!$F$11/1000</f>
        <v>4000</v>
      </c>
      <c r="K28" s="3">
        <f>H28*'"Simple" example'!$F$23/1000</f>
        <v>2000</v>
      </c>
      <c r="L28" s="82"/>
      <c r="M28" s="4">
        <f t="shared" si="7"/>
        <v>40000</v>
      </c>
      <c r="N28" s="3">
        <f t="shared" si="3"/>
        <v>46000</v>
      </c>
      <c r="O28" s="6"/>
      <c r="P28" s="83">
        <f t="shared" si="4"/>
        <v>8.6956521739130432E-2</v>
      </c>
      <c r="Q28" s="83">
        <f t="shared" si="0"/>
        <v>4.3478260869565216E-2</v>
      </c>
      <c r="R28" s="83">
        <f t="shared" si="1"/>
        <v>0</v>
      </c>
      <c r="S28" s="83">
        <f t="shared" si="2"/>
        <v>0.86956521739130432</v>
      </c>
      <c r="T28" s="6"/>
      <c r="U28" s="6"/>
      <c r="V28" s="7">
        <v>0.54300000000000004</v>
      </c>
      <c r="W28" s="7">
        <v>0.376</v>
      </c>
      <c r="X28" s="7">
        <v>0.40600000000000003</v>
      </c>
      <c r="Y28" s="7">
        <v>0.629</v>
      </c>
      <c r="Z28" s="7"/>
      <c r="AB28" s="78">
        <f t="shared" si="5"/>
        <v>0.60305220813346083</v>
      </c>
      <c r="AD28" s="5">
        <f t="shared" si="6"/>
        <v>0.92095806652258339</v>
      </c>
    </row>
    <row r="29" spans="2:32" x14ac:dyDescent="0.25">
      <c r="F29" t="s">
        <v>72</v>
      </c>
      <c r="G29" t="s">
        <v>72</v>
      </c>
      <c r="H29" s="2">
        <v>0</v>
      </c>
      <c r="I29" s="2"/>
      <c r="J29" s="82"/>
      <c r="K29" s="82"/>
      <c r="L29" s="82"/>
      <c r="M29" s="4">
        <f t="shared" si="7"/>
        <v>0</v>
      </c>
      <c r="N29" s="3">
        <f t="shared" si="3"/>
        <v>0</v>
      </c>
      <c r="O29" s="6"/>
      <c r="P29" s="83" t="str">
        <f t="shared" si="4"/>
        <v>?</v>
      </c>
      <c r="Q29" s="83" t="str">
        <f t="shared" si="0"/>
        <v>?</v>
      </c>
      <c r="R29" s="83" t="str">
        <f t="shared" si="1"/>
        <v>?</v>
      </c>
      <c r="S29" s="83" t="str">
        <f t="shared" si="2"/>
        <v>?</v>
      </c>
      <c r="T29" s="6"/>
      <c r="U29" s="6"/>
      <c r="V29" s="7">
        <v>0.54300000000000004</v>
      </c>
      <c r="W29" s="7">
        <v>0.376</v>
      </c>
      <c r="X29" s="7">
        <v>0.40600000000000003</v>
      </c>
      <c r="Y29" s="7">
        <v>0.629</v>
      </c>
      <c r="Z29" s="7"/>
      <c r="AB29" s="78" t="str">
        <f t="shared" si="5"/>
        <v>?</v>
      </c>
      <c r="AD29" s="5" t="str">
        <f t="shared" si="6"/>
        <v>?</v>
      </c>
    </row>
    <row r="30" spans="2:32" x14ac:dyDescent="0.25">
      <c r="B30" t="s">
        <v>8</v>
      </c>
      <c r="C30" t="s">
        <v>13</v>
      </c>
      <c r="D30" t="s">
        <v>10</v>
      </c>
      <c r="E30" t="s">
        <v>13</v>
      </c>
      <c r="F30" t="s">
        <v>71</v>
      </c>
      <c r="G30" t="s">
        <v>71</v>
      </c>
      <c r="H30" s="2">
        <v>800000000</v>
      </c>
      <c r="I30" s="2"/>
      <c r="J30" s="3">
        <f>H30*'"Simple" example'!$F$11/1000</f>
        <v>16000</v>
      </c>
      <c r="K30" s="3">
        <f>H30*'"Simple" example'!$F$22/1000</f>
        <v>192000</v>
      </c>
      <c r="L30" s="3">
        <f>H30*'"Simple" example'!$F$35/1000</f>
        <v>4000</v>
      </c>
      <c r="M30" s="4">
        <f t="shared" si="7"/>
        <v>160000</v>
      </c>
      <c r="N30" s="3">
        <f t="shared" si="3"/>
        <v>372000</v>
      </c>
      <c r="O30" s="6"/>
      <c r="P30" s="83">
        <f t="shared" si="4"/>
        <v>4.3010752688172046E-2</v>
      </c>
      <c r="Q30" s="83">
        <f t="shared" si="0"/>
        <v>0.5161290322580645</v>
      </c>
      <c r="R30" s="83">
        <f t="shared" si="1"/>
        <v>1.0752688172043012E-2</v>
      </c>
      <c r="S30" s="83">
        <f t="shared" si="2"/>
        <v>0.43010752688172044</v>
      </c>
      <c r="T30" s="6"/>
      <c r="U30" s="6"/>
      <c r="V30" s="7">
        <v>0.54300000000000004</v>
      </c>
      <c r="W30" s="7">
        <v>0.376</v>
      </c>
      <c r="X30" s="7">
        <v>0.40600000000000003</v>
      </c>
      <c r="Y30" s="7">
        <v>0.629</v>
      </c>
      <c r="Z30" s="7"/>
      <c r="AB30" s="78">
        <f t="shared" si="5"/>
        <v>0.46249761979166948</v>
      </c>
      <c r="AD30" s="5">
        <f t="shared" si="6"/>
        <v>1.20084033268093</v>
      </c>
      <c r="AF30" s="1" t="s">
        <v>59</v>
      </c>
    </row>
    <row r="31" spans="2:32" x14ac:dyDescent="0.25">
      <c r="F31" t="s">
        <v>71</v>
      </c>
      <c r="G31" t="s">
        <v>72</v>
      </c>
      <c r="H31" s="2">
        <v>200000000</v>
      </c>
      <c r="J31" s="82"/>
      <c r="K31" s="20"/>
      <c r="L31" s="3">
        <f>H31*'"Simple" example'!$F$35/1000</f>
        <v>1000</v>
      </c>
      <c r="M31" s="4">
        <f t="shared" si="7"/>
        <v>40000</v>
      </c>
      <c r="N31" s="3">
        <f t="shared" si="3"/>
        <v>41000</v>
      </c>
      <c r="P31" s="83">
        <f t="shared" si="4"/>
        <v>0</v>
      </c>
      <c r="Q31" s="83">
        <f t="shared" si="0"/>
        <v>0</v>
      </c>
      <c r="R31" s="83">
        <f t="shared" si="1"/>
        <v>2.4390243902439025E-2</v>
      </c>
      <c r="S31" s="83">
        <f t="shared" si="2"/>
        <v>0.97560975609756095</v>
      </c>
      <c r="V31" s="7">
        <v>0.54300000000000004</v>
      </c>
      <c r="W31" s="7">
        <v>0.376</v>
      </c>
      <c r="X31" s="7">
        <v>0.40600000000000003</v>
      </c>
      <c r="Y31" s="7">
        <v>0.629</v>
      </c>
      <c r="AB31" s="78">
        <f t="shared" si="5"/>
        <v>0.62068492501037409</v>
      </c>
      <c r="AD31" s="5">
        <f t="shared" si="6"/>
        <v>0.89479504533718768</v>
      </c>
    </row>
    <row r="32" spans="2:32" x14ac:dyDescent="0.25">
      <c r="F32" t="s">
        <v>72</v>
      </c>
      <c r="G32" t="s">
        <v>71</v>
      </c>
      <c r="H32" s="2">
        <v>0</v>
      </c>
      <c r="J32" s="3">
        <f>H32*'"Simple" example'!$F$11/1000</f>
        <v>0</v>
      </c>
      <c r="K32" s="3">
        <f>H32*'"Simple" example'!$F$22/1000</f>
        <v>0</v>
      </c>
      <c r="L32" s="82"/>
      <c r="M32" s="4">
        <f t="shared" si="7"/>
        <v>0</v>
      </c>
      <c r="N32" s="3">
        <f t="shared" si="3"/>
        <v>0</v>
      </c>
      <c r="P32" s="83" t="str">
        <f t="shared" si="4"/>
        <v>?</v>
      </c>
      <c r="Q32" s="83" t="str">
        <f t="shared" si="0"/>
        <v>?</v>
      </c>
      <c r="R32" s="83" t="str">
        <f t="shared" si="1"/>
        <v>?</v>
      </c>
      <c r="S32" s="83" t="str">
        <f t="shared" si="2"/>
        <v>?</v>
      </c>
      <c r="V32" s="7">
        <v>0.54300000000000004</v>
      </c>
      <c r="W32" s="7">
        <v>0.376</v>
      </c>
      <c r="X32" s="7">
        <v>0.40600000000000003</v>
      </c>
      <c r="Y32" s="7">
        <v>0.629</v>
      </c>
      <c r="AB32" s="78" t="str">
        <f t="shared" si="5"/>
        <v>?</v>
      </c>
      <c r="AD32" s="5" t="str">
        <f t="shared" si="6"/>
        <v>?</v>
      </c>
    </row>
    <row r="33" spans="2:30" x14ac:dyDescent="0.25">
      <c r="F33" t="s">
        <v>72</v>
      </c>
      <c r="G33" t="s">
        <v>72</v>
      </c>
      <c r="H33" s="2">
        <v>0</v>
      </c>
      <c r="J33" s="82"/>
      <c r="K33" s="82"/>
      <c r="L33" s="82"/>
      <c r="M33" s="4">
        <f t="shared" si="7"/>
        <v>0</v>
      </c>
      <c r="N33" s="3">
        <f t="shared" si="3"/>
        <v>0</v>
      </c>
      <c r="P33" s="83" t="str">
        <f t="shared" si="4"/>
        <v>?</v>
      </c>
      <c r="Q33" s="83" t="str">
        <f t="shared" si="0"/>
        <v>?</v>
      </c>
      <c r="R33" s="83" t="str">
        <f t="shared" si="1"/>
        <v>?</v>
      </c>
      <c r="S33" s="83" t="str">
        <f t="shared" si="2"/>
        <v>?</v>
      </c>
      <c r="V33" s="7">
        <v>0.54300000000000004</v>
      </c>
      <c r="W33" s="7">
        <v>0.376</v>
      </c>
      <c r="X33" s="7">
        <v>0.40600000000000003</v>
      </c>
      <c r="Y33" s="7">
        <v>0.629</v>
      </c>
      <c r="AB33" s="79" t="str">
        <f t="shared" si="5"/>
        <v>?</v>
      </c>
      <c r="AD33" s="5" t="str">
        <f t="shared" si="6"/>
        <v>?</v>
      </c>
    </row>
    <row r="34" spans="2:30" x14ac:dyDescent="0.25">
      <c r="B34" s="76" t="s">
        <v>49</v>
      </c>
      <c r="H34" s="73">
        <f>SUM(H14:H33)</f>
        <v>10000000000</v>
      </c>
      <c r="I34" s="73"/>
      <c r="J34" s="74">
        <f>SUM(J14:J33)</f>
        <v>733500</v>
      </c>
      <c r="K34" s="74">
        <f>SUM(K14:K33)</f>
        <v>274500</v>
      </c>
      <c r="L34" s="74">
        <f>SUM(L14:L33)</f>
        <v>234750</v>
      </c>
      <c r="M34" s="74">
        <f>SUM(M14:M33)</f>
        <v>2000000</v>
      </c>
      <c r="N34" s="74">
        <f>SUM(N14:N33)</f>
        <v>3242750</v>
      </c>
      <c r="O34" s="6"/>
      <c r="P34" s="9">
        <f t="shared" si="4"/>
        <v>0.22619690077866009</v>
      </c>
      <c r="Q34" s="9">
        <f t="shared" si="0"/>
        <v>8.4650373911032306E-2</v>
      </c>
      <c r="R34" s="9">
        <f t="shared" si="1"/>
        <v>7.2392259656156047E-2</v>
      </c>
      <c r="S34" s="9">
        <f t="shared" si="2"/>
        <v>0.61676046565415155</v>
      </c>
      <c r="T34" s="6"/>
      <c r="U34" s="6"/>
      <c r="AB34" s="80" cm="1">
        <f t="array" ref="AB34">N$34/SUM(IFERROR(N$14:N$33/AB$14:AB$33,0))</f>
        <v>0.55538579561476664</v>
      </c>
    </row>
    <row r="36" spans="2:30" x14ac:dyDescent="0.25">
      <c r="M36" t="s">
        <v>54</v>
      </c>
      <c r="V36" s="1" t="s">
        <v>50</v>
      </c>
      <c r="AB36" t="s">
        <v>55</v>
      </c>
    </row>
    <row r="37" spans="2:30" x14ac:dyDescent="0.25">
      <c r="AB37" t="s">
        <v>56</v>
      </c>
    </row>
    <row r="38" spans="2:30" x14ac:dyDescent="0.25">
      <c r="V38" t="s">
        <v>51</v>
      </c>
      <c r="AB38" t="s">
        <v>57</v>
      </c>
    </row>
    <row r="39" spans="2:30" x14ac:dyDescent="0.25">
      <c r="V39" t="s">
        <v>52</v>
      </c>
      <c r="AB39" t="s">
        <v>58</v>
      </c>
    </row>
    <row r="41" spans="2:30" x14ac:dyDescent="0.25">
      <c r="V41" t="s">
        <v>53</v>
      </c>
    </row>
    <row r="44" spans="2:30" x14ac:dyDescent="0.25">
      <c r="AB44" s="75" t="s">
        <v>60</v>
      </c>
    </row>
    <row r="46" spans="2:30" x14ac:dyDescent="0.25">
      <c r="AC46" t="s">
        <v>61</v>
      </c>
    </row>
    <row r="47" spans="2:30" x14ac:dyDescent="0.25">
      <c r="AC47" t="s">
        <v>62</v>
      </c>
    </row>
    <row r="48" spans="2:30" x14ac:dyDescent="0.25">
      <c r="AC48" t="s">
        <v>63</v>
      </c>
    </row>
    <row r="49" spans="29:29" x14ac:dyDescent="0.25">
      <c r="AC49" t="s">
        <v>64</v>
      </c>
    </row>
    <row r="51" spans="29:29" x14ac:dyDescent="0.25">
      <c r="AC5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"Simple" example</vt:lpstr>
      <vt:lpstr>Consider coverages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Noe, Doug</dc:creator>
  <cp:lastModifiedBy>Mun, Jongmin</cp:lastModifiedBy>
  <dcterms:created xsi:type="dcterms:W3CDTF">2026-05-19T15:38:59Z</dcterms:created>
  <dcterms:modified xsi:type="dcterms:W3CDTF">2026-05-20T17:38:51Z</dcterms:modified>
</cp:coreProperties>
</file>